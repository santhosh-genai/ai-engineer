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76038\Desktop\learning\ai-engineer\python\classes\machine_learning\decision_tree_regression_model\"/>
    </mc:Choice>
  </mc:AlternateContent>
  <xr:revisionPtr revIDLastSave="0" documentId="13_ncr:1_{5E342F89-3671-4D26-9280-A286C23134DD}" xr6:coauthVersionLast="47" xr6:coauthVersionMax="47" xr10:uidLastSave="{00000000-0000-0000-0000-000000000000}"/>
  <bookViews>
    <workbookView xWindow="-108" yWindow="-108" windowWidth="23256" windowHeight="12456" activeTab="3" xr2:uid="{43628518-331D-49FE-B063-98D0B8E722F1}"/>
  </bookViews>
  <sheets>
    <sheet name="weather" sheetId="1" r:id="rId1"/>
    <sheet name="Temperature" sheetId="3" r:id="rId2"/>
    <sheet name="Humidity" sheetId="6" r:id="rId3"/>
    <sheet name="Wind" sheetId="4" r:id="rId4"/>
  </sheets>
  <definedNames>
    <definedName name="_xlnm._FilterDatabase" localSheetId="2" hidden="1">Humidity!$J$1:$O$15</definedName>
    <definedName name="_xlnm._FilterDatabase" localSheetId="1" hidden="1">Temperature!$J$1:$O$15</definedName>
    <definedName name="_xlnm._FilterDatabase" localSheetId="3" hidden="1">Wind!$J$1:$O$15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7" i="6"/>
  <c r="B7" i="6"/>
  <c r="D6" i="6"/>
  <c r="D5" i="6"/>
  <c r="C16" i="6" s="1"/>
  <c r="E16" i="6" s="1"/>
  <c r="D4" i="6"/>
  <c r="C7" i="4"/>
  <c r="B7" i="4"/>
  <c r="D6" i="4"/>
  <c r="D5" i="4"/>
  <c r="D4" i="4"/>
  <c r="C15" i="4" s="1"/>
  <c r="E15" i="4" s="1"/>
  <c r="E16" i="3"/>
  <c r="D6" i="3"/>
  <c r="B17" i="3" s="1"/>
  <c r="D17" i="3" s="1"/>
  <c r="D5" i="3"/>
  <c r="B16" i="3" s="1"/>
  <c r="D16" i="3" s="1"/>
  <c r="D4" i="3"/>
  <c r="C15" i="3" s="1"/>
  <c r="E15" i="3" s="1"/>
  <c r="C7" i="3"/>
  <c r="B7" i="3"/>
  <c r="F17" i="1"/>
  <c r="E16" i="1" a="1"/>
  <c r="E16" i="1" s="1"/>
  <c r="F16" i="1" s="1"/>
  <c r="F15" i="1"/>
  <c r="E17" i="1"/>
  <c r="E15" i="1"/>
  <c r="D16" i="1"/>
  <c r="D15" i="1"/>
  <c r="D17" i="1"/>
  <c r="B12" i="1"/>
  <c r="C16" i="1"/>
  <c r="C15" i="1"/>
  <c r="B9" i="1"/>
  <c r="B10" i="1"/>
  <c r="D7" i="1"/>
  <c r="C17" i="1"/>
  <c r="B17" i="1"/>
  <c r="B16" i="1"/>
  <c r="B15" i="1"/>
  <c r="C7" i="1"/>
  <c r="B7" i="1"/>
  <c r="D7" i="6" l="1"/>
  <c r="B10" i="6" s="1"/>
  <c r="C15" i="6"/>
  <c r="E15" i="6" s="1"/>
  <c r="B15" i="6"/>
  <c r="D15" i="6" s="1"/>
  <c r="B16" i="6"/>
  <c r="D16" i="6" s="1"/>
  <c r="F16" i="6" s="1"/>
  <c r="D7" i="4"/>
  <c r="B10" i="4" s="1"/>
  <c r="B16" i="4"/>
  <c r="D16" i="4" s="1"/>
  <c r="C16" i="4"/>
  <c r="E16" i="4" s="1"/>
  <c r="B15" i="4"/>
  <c r="D15" i="4" s="1"/>
  <c r="F15" i="4" s="1"/>
  <c r="B15" i="3"/>
  <c r="D15" i="3" s="1"/>
  <c r="D7" i="3"/>
  <c r="B10" i="3" s="1"/>
  <c r="C17" i="3"/>
  <c r="E17" i="3" s="1"/>
  <c r="F17" i="3" s="1"/>
  <c r="C16" i="3"/>
  <c r="F16" i="3" s="1"/>
  <c r="F15" i="3"/>
  <c r="B9" i="6" l="1"/>
  <c r="B12" i="6" s="1"/>
  <c r="B18" i="6" s="1"/>
  <c r="F15" i="6"/>
  <c r="B9" i="4"/>
  <c r="B12" i="4" s="1"/>
  <c r="F16" i="4"/>
  <c r="B9" i="3"/>
  <c r="B12" i="3" s="1"/>
  <c r="B19" i="3" s="1"/>
  <c r="B18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<sst xmlns="http://schemas.openxmlformats.org/spreadsheetml/2006/main" count="382" uniqueCount="36">
  <si>
    <t>Weather</t>
  </si>
  <si>
    <t>Yes</t>
  </si>
  <si>
    <t>No</t>
  </si>
  <si>
    <t>Total</t>
  </si>
  <si>
    <t>Sunny</t>
  </si>
  <si>
    <t>Cloudy</t>
  </si>
  <si>
    <t>Rain</t>
  </si>
  <si>
    <t>Entropy of entire dataset</t>
  </si>
  <si>
    <t>Entropy of entire sunny</t>
  </si>
  <si>
    <t>Entropy of entire cloudy</t>
  </si>
  <si>
    <t>Entropy of Yes</t>
  </si>
  <si>
    <t>Entropy of No</t>
  </si>
  <si>
    <t>Entropy of entire rain</t>
  </si>
  <si>
    <t>Information gain</t>
  </si>
  <si>
    <t>Day</t>
  </si>
  <si>
    <t>Temperature</t>
  </si>
  <si>
    <t>Humidity</t>
  </si>
  <si>
    <t>Wind</t>
  </si>
  <si>
    <t>Play</t>
  </si>
  <si>
    <t>Hot</t>
  </si>
  <si>
    <t>High</t>
  </si>
  <si>
    <t>Weak</t>
  </si>
  <si>
    <t>Strong</t>
  </si>
  <si>
    <t>Mild</t>
  </si>
  <si>
    <t>Cool</t>
  </si>
  <si>
    <t>Normal</t>
  </si>
  <si>
    <t>Entropy of entire Hot</t>
  </si>
  <si>
    <t>Entropy of entire Mild</t>
  </si>
  <si>
    <t>Entropy of entire Cool</t>
  </si>
  <si>
    <t>NA</t>
  </si>
  <si>
    <t>Probability of Yes</t>
  </si>
  <si>
    <t>Probability of No</t>
  </si>
  <si>
    <t>Entropy of entire High</t>
  </si>
  <si>
    <t>Entropy of entire Normal</t>
  </si>
  <si>
    <t>Entropy of entire Weak</t>
  </si>
  <si>
    <t>Entropy of entire 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</si>
</sst>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74CE-40A3-47BD-A82F-ADB209BDDD4B}">
  <dimension ref="A1:P19"/>
  <sheetViews>
    <sheetView workbookViewId="0">
      <selection activeCell="A20" sqref="A20"/>
    </sheetView>
  </sheetViews>
  <sheetFormatPr defaultRowHeight="14.4" x14ac:dyDescent="0.3"/>
  <cols>
    <col min="1" max="1" width="20.44140625" bestFit="1" customWidth="1"/>
    <col min="4" max="4" width="18.33203125" bestFit="1" customWidth="1"/>
    <col min="5" max="5" width="11.5546875" bestFit="1" customWidth="1"/>
  </cols>
  <sheetData>
    <row r="1" spans="1:16" x14ac:dyDescent="0.3">
      <c r="K1" t="s">
        <v>14</v>
      </c>
      <c r="L1" t="s">
        <v>0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3">
      <c r="K2">
        <v>1</v>
      </c>
      <c r="L2" t="s">
        <v>4</v>
      </c>
      <c r="M2" t="s">
        <v>19</v>
      </c>
      <c r="N2" t="s">
        <v>20</v>
      </c>
      <c r="O2" t="s">
        <v>21</v>
      </c>
      <c r="P2" t="s">
        <v>2</v>
      </c>
    </row>
    <row r="3" spans="1:16" x14ac:dyDescent="0.3">
      <c r="A3" s="2" t="s">
        <v>0</v>
      </c>
      <c r="B3" s="3" t="s">
        <v>1</v>
      </c>
      <c r="C3" s="3" t="s">
        <v>2</v>
      </c>
      <c r="D3" s="3" t="s">
        <v>3</v>
      </c>
      <c r="K3">
        <v>2</v>
      </c>
      <c r="L3" t="s">
        <v>4</v>
      </c>
      <c r="M3" t="s">
        <v>19</v>
      </c>
      <c r="N3" t="s">
        <v>20</v>
      </c>
      <c r="O3" t="s">
        <v>22</v>
      </c>
      <c r="P3" t="s">
        <v>2</v>
      </c>
    </row>
    <row r="4" spans="1:16" x14ac:dyDescent="0.3">
      <c r="A4" s="4" t="s">
        <v>4</v>
      </c>
      <c r="B4" s="5">
        <v>2</v>
      </c>
      <c r="C4" s="5">
        <v>3</v>
      </c>
      <c r="D4" s="6">
        <v>5</v>
      </c>
      <c r="K4">
        <v>3</v>
      </c>
      <c r="L4" t="s">
        <v>5</v>
      </c>
      <c r="M4" t="s">
        <v>19</v>
      </c>
      <c r="N4" t="s">
        <v>20</v>
      </c>
      <c r="O4" t="s">
        <v>21</v>
      </c>
      <c r="P4" t="s">
        <v>1</v>
      </c>
    </row>
    <row r="5" spans="1:16" x14ac:dyDescent="0.3">
      <c r="A5" s="4" t="s">
        <v>5</v>
      </c>
      <c r="B5" s="5">
        <v>4</v>
      </c>
      <c r="C5" s="5">
        <v>0</v>
      </c>
      <c r="D5" s="6">
        <v>4</v>
      </c>
      <c r="K5">
        <v>4</v>
      </c>
      <c r="L5" t="s">
        <v>6</v>
      </c>
      <c r="M5" t="s">
        <v>23</v>
      </c>
      <c r="N5" t="s">
        <v>20</v>
      </c>
      <c r="O5" t="s">
        <v>21</v>
      </c>
      <c r="P5" t="s">
        <v>1</v>
      </c>
    </row>
    <row r="6" spans="1:16" x14ac:dyDescent="0.3">
      <c r="A6" s="4" t="s">
        <v>6</v>
      </c>
      <c r="B6" s="5">
        <v>3</v>
      </c>
      <c r="C6" s="5">
        <v>2</v>
      </c>
      <c r="D6" s="6">
        <v>5</v>
      </c>
      <c r="K6">
        <v>5</v>
      </c>
      <c r="L6" t="s">
        <v>6</v>
      </c>
      <c r="M6" t="s">
        <v>24</v>
      </c>
      <c r="N6" t="s">
        <v>25</v>
      </c>
      <c r="O6" t="s">
        <v>21</v>
      </c>
      <c r="P6" t="s">
        <v>1</v>
      </c>
    </row>
    <row r="7" spans="1:16" x14ac:dyDescent="0.3">
      <c r="A7" s="7" t="s">
        <v>3</v>
      </c>
      <c r="B7" s="8">
        <f>B4+B5+B6</f>
        <v>9</v>
      </c>
      <c r="C7" s="8">
        <f>C4+C5+C6</f>
        <v>5</v>
      </c>
      <c r="D7" s="8">
        <f>D4+D5+D6</f>
        <v>14</v>
      </c>
      <c r="K7">
        <v>6</v>
      </c>
      <c r="L7" t="s">
        <v>6</v>
      </c>
      <c r="M7" t="s">
        <v>24</v>
      </c>
      <c r="N7" t="s">
        <v>25</v>
      </c>
      <c r="O7" t="s">
        <v>22</v>
      </c>
      <c r="P7" t="s">
        <v>2</v>
      </c>
    </row>
    <row r="8" spans="1:16" x14ac:dyDescent="0.3">
      <c r="K8">
        <v>7</v>
      </c>
      <c r="L8" t="s">
        <v>5</v>
      </c>
      <c r="M8" t="s">
        <v>24</v>
      </c>
      <c r="N8" t="s">
        <v>25</v>
      </c>
      <c r="O8" t="s">
        <v>22</v>
      </c>
      <c r="P8" t="s">
        <v>1</v>
      </c>
    </row>
    <row r="9" spans="1:16" x14ac:dyDescent="0.3">
      <c r="A9" s="1" t="s">
        <v>30</v>
      </c>
      <c r="B9">
        <f>B7/D7</f>
        <v>0.6428571428571429</v>
      </c>
      <c r="K9">
        <v>8</v>
      </c>
      <c r="L9" t="s">
        <v>4</v>
      </c>
      <c r="M9" t="s">
        <v>23</v>
      </c>
      <c r="N9" t="s">
        <v>20</v>
      </c>
      <c r="O9" t="s">
        <v>21</v>
      </c>
      <c r="P9" t="s">
        <v>2</v>
      </c>
    </row>
    <row r="10" spans="1:16" x14ac:dyDescent="0.3">
      <c r="A10" s="1" t="s">
        <v>31</v>
      </c>
      <c r="B10">
        <f>C7/D7</f>
        <v>0.35714285714285715</v>
      </c>
      <c r="K10">
        <v>9</v>
      </c>
      <c r="L10" t="s">
        <v>4</v>
      </c>
      <c r="M10" t="s">
        <v>24</v>
      </c>
      <c r="N10" t="s">
        <v>25</v>
      </c>
      <c r="O10" t="s">
        <v>21</v>
      </c>
      <c r="P10" t="s">
        <v>1</v>
      </c>
    </row>
    <row r="11" spans="1:16" x14ac:dyDescent="0.3">
      <c r="K11">
        <v>10</v>
      </c>
      <c r="L11" t="s">
        <v>6</v>
      </c>
      <c r="M11" t="s">
        <v>23</v>
      </c>
      <c r="N11" t="s">
        <v>25</v>
      </c>
      <c r="O11" t="s">
        <v>21</v>
      </c>
      <c r="P11" t="s">
        <v>1</v>
      </c>
    </row>
    <row r="12" spans="1:16" x14ac:dyDescent="0.3">
      <c r="A12" t="s">
        <v>7</v>
      </c>
      <c r="B12">
        <f>-(B9*IMLOG2(B9)+B10*IMLOG2(B10))</f>
        <v>0.94028595867063069</v>
      </c>
      <c r="K12">
        <v>11</v>
      </c>
      <c r="L12" t="s">
        <v>4</v>
      </c>
      <c r="M12" t="s">
        <v>23</v>
      </c>
      <c r="N12" t="s">
        <v>25</v>
      </c>
      <c r="O12" t="s">
        <v>22</v>
      </c>
      <c r="P12" t="s">
        <v>1</v>
      </c>
    </row>
    <row r="13" spans="1:16" x14ac:dyDescent="0.3">
      <c r="K13">
        <v>12</v>
      </c>
      <c r="L13" t="s">
        <v>5</v>
      </c>
      <c r="M13" t="s">
        <v>23</v>
      </c>
      <c r="N13" t="s">
        <v>20</v>
      </c>
      <c r="O13" t="s">
        <v>22</v>
      </c>
      <c r="P13" t="s">
        <v>1</v>
      </c>
    </row>
    <row r="14" spans="1:16" x14ac:dyDescent="0.3">
      <c r="B14" t="s">
        <v>1</v>
      </c>
      <c r="C14" t="s">
        <v>2</v>
      </c>
      <c r="D14" t="s">
        <v>10</v>
      </c>
      <c r="E14" t="s">
        <v>11</v>
      </c>
      <c r="F14" t="s">
        <v>3</v>
      </c>
      <c r="K14">
        <v>13</v>
      </c>
      <c r="L14" t="s">
        <v>5</v>
      </c>
      <c r="M14" t="s">
        <v>19</v>
      </c>
      <c r="N14" t="s">
        <v>25</v>
      </c>
      <c r="O14" t="s">
        <v>21</v>
      </c>
      <c r="P14" t="s">
        <v>1</v>
      </c>
    </row>
    <row r="15" spans="1:16" x14ac:dyDescent="0.3">
      <c r="A15" t="s">
        <v>8</v>
      </c>
      <c r="B15">
        <f>B4/D4</f>
        <v>0.4</v>
      </c>
      <c r="C15">
        <f>C4/D4</f>
        <v>0.6</v>
      </c>
      <c r="D15">
        <f>-(B15*IMLOG2(B15))</f>
        <v>0.52877123795494396</v>
      </c>
      <c r="E15">
        <f>-(C15*IMLOG2(C15))</f>
        <v>0.44217935649972356</v>
      </c>
      <c r="F15">
        <f>D15+E15</f>
        <v>0.97095059445466747</v>
      </c>
      <c r="K15">
        <v>14</v>
      </c>
      <c r="L15" t="s">
        <v>6</v>
      </c>
      <c r="M15" t="s">
        <v>23</v>
      </c>
      <c r="N15" t="s">
        <v>20</v>
      </c>
      <c r="O15" t="s">
        <v>22</v>
      </c>
      <c r="P15" t="s">
        <v>2</v>
      </c>
    </row>
    <row r="16" spans="1:16" x14ac:dyDescent="0.3">
      <c r="A16" t="s">
        <v>9</v>
      </c>
      <c r="B16">
        <f>B5/D5</f>
        <v>1</v>
      </c>
      <c r="C16">
        <f>C5/D5</f>
        <v>0</v>
      </c>
      <c r="D16">
        <f>-(B16*IMLOG2(B16))</f>
        <v>0</v>
      </c>
      <c r="E16" cm="1">
        <f t="array" ref="E16">IF(C16=0,0,-C16*LOG2(C16))</f>
        <v>0</v>
      </c>
      <c r="F16">
        <f>(D16+E16)</f>
        <v>0</v>
      </c>
    </row>
    <row r="17" spans="1:6" x14ac:dyDescent="0.3">
      <c r="A17" t="s">
        <v>12</v>
      </c>
      <c r="B17">
        <f>B6/D6</f>
        <v>0.6</v>
      </c>
      <c r="C17">
        <f>C6/D6</f>
        <v>0.4</v>
      </c>
      <c r="D17">
        <f>-(B17*IMLOG2(B17))</f>
        <v>0.44217935649972356</v>
      </c>
      <c r="E17">
        <f>-(C17*IMLOG2(C17))</f>
        <v>0.52877123795494396</v>
      </c>
      <c r="F17">
        <f>D17+E17</f>
        <v>0.97095059445466747</v>
      </c>
    </row>
    <row r="19" spans="1:6" x14ac:dyDescent="0.3">
      <c r="A19" t="s">
        <v>13</v>
      </c>
      <c r="B19">
        <f>B12-D4/D7*F15-D5/D7*F16-D6/D7*F17</f>
        <v>0.24674981977443972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EA49-F364-4385-8828-1FA809923B24}">
  <dimension ref="A1:O19"/>
  <sheetViews>
    <sheetView workbookViewId="0">
      <selection activeCell="F16" sqref="F16"/>
    </sheetView>
  </sheetViews>
  <sheetFormatPr defaultRowHeight="14.4" x14ac:dyDescent="0.3"/>
  <cols>
    <col min="1" max="1" width="20.44140625" bestFit="1" customWidth="1"/>
    <col min="4" max="4" width="18.33203125" bestFit="1" customWidth="1"/>
    <col min="5" max="5" width="11.5546875" bestFit="1" customWidth="1"/>
  </cols>
  <sheetData>
    <row r="1" spans="1:15" x14ac:dyDescent="0.3">
      <c r="J1" t="s">
        <v>14</v>
      </c>
      <c r="K1" t="s">
        <v>0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3">
      <c r="J2">
        <v>1</v>
      </c>
      <c r="K2" t="s">
        <v>4</v>
      </c>
      <c r="L2" t="s">
        <v>19</v>
      </c>
      <c r="M2" t="s">
        <v>20</v>
      </c>
      <c r="N2" t="s">
        <v>21</v>
      </c>
      <c r="O2" t="s">
        <v>2</v>
      </c>
    </row>
    <row r="3" spans="1:15" x14ac:dyDescent="0.3">
      <c r="A3" s="2" t="s">
        <v>15</v>
      </c>
      <c r="B3" s="3" t="s">
        <v>1</v>
      </c>
      <c r="C3" s="3" t="s">
        <v>2</v>
      </c>
      <c r="D3" s="3" t="s">
        <v>3</v>
      </c>
      <c r="J3">
        <v>2</v>
      </c>
      <c r="K3" t="s">
        <v>4</v>
      </c>
      <c r="L3" t="s">
        <v>19</v>
      </c>
      <c r="M3" t="s">
        <v>20</v>
      </c>
      <c r="N3" t="s">
        <v>22</v>
      </c>
      <c r="O3" t="s">
        <v>2</v>
      </c>
    </row>
    <row r="4" spans="1:15" x14ac:dyDescent="0.3">
      <c r="A4" s="4" t="s">
        <v>19</v>
      </c>
      <c r="B4" s="5">
        <v>2</v>
      </c>
      <c r="C4" s="5">
        <v>2</v>
      </c>
      <c r="D4" s="6">
        <f>B4+C4</f>
        <v>4</v>
      </c>
      <c r="J4">
        <v>3</v>
      </c>
      <c r="K4" t="s">
        <v>5</v>
      </c>
      <c r="L4" t="s">
        <v>19</v>
      </c>
      <c r="M4" t="s">
        <v>20</v>
      </c>
      <c r="N4" t="s">
        <v>21</v>
      </c>
      <c r="O4" t="s">
        <v>1</v>
      </c>
    </row>
    <row r="5" spans="1:15" x14ac:dyDescent="0.3">
      <c r="A5" s="4" t="s">
        <v>23</v>
      </c>
      <c r="B5" s="5">
        <v>4</v>
      </c>
      <c r="C5" s="5">
        <v>2</v>
      </c>
      <c r="D5" s="6">
        <f>B5+C5</f>
        <v>6</v>
      </c>
      <c r="J5">
        <v>4</v>
      </c>
      <c r="K5" t="s">
        <v>6</v>
      </c>
      <c r="L5" t="s">
        <v>23</v>
      </c>
      <c r="M5" t="s">
        <v>20</v>
      </c>
      <c r="N5" t="s">
        <v>21</v>
      </c>
      <c r="O5" t="s">
        <v>1</v>
      </c>
    </row>
    <row r="6" spans="1:15" x14ac:dyDescent="0.3">
      <c r="A6" s="4" t="s">
        <v>24</v>
      </c>
      <c r="B6" s="5">
        <v>3</v>
      </c>
      <c r="C6" s="5">
        <v>1</v>
      </c>
      <c r="D6" s="6">
        <f>B6+C6</f>
        <v>4</v>
      </c>
      <c r="J6">
        <v>5</v>
      </c>
      <c r="K6" t="s">
        <v>6</v>
      </c>
      <c r="L6" t="s">
        <v>24</v>
      </c>
      <c r="M6" t="s">
        <v>25</v>
      </c>
      <c r="N6" t="s">
        <v>21</v>
      </c>
      <c r="O6" t="s">
        <v>1</v>
      </c>
    </row>
    <row r="7" spans="1:15" x14ac:dyDescent="0.3">
      <c r="A7" s="7" t="s">
        <v>3</v>
      </c>
      <c r="B7" s="8">
        <f>B4+B5+B6</f>
        <v>9</v>
      </c>
      <c r="C7" s="8">
        <f>C4+C5+C6</f>
        <v>5</v>
      </c>
      <c r="D7" s="8">
        <f>D4+D5+D6</f>
        <v>14</v>
      </c>
      <c r="J7">
        <v>6</v>
      </c>
      <c r="K7" t="s">
        <v>6</v>
      </c>
      <c r="L7" t="s">
        <v>24</v>
      </c>
      <c r="M7" t="s">
        <v>25</v>
      </c>
      <c r="N7" t="s">
        <v>22</v>
      </c>
      <c r="O7" t="s">
        <v>2</v>
      </c>
    </row>
    <row r="8" spans="1:15" x14ac:dyDescent="0.3">
      <c r="J8">
        <v>7</v>
      </c>
      <c r="K8" t="s">
        <v>5</v>
      </c>
      <c r="L8" t="s">
        <v>24</v>
      </c>
      <c r="M8" t="s">
        <v>25</v>
      </c>
      <c r="N8" t="s">
        <v>22</v>
      </c>
      <c r="O8" t="s">
        <v>1</v>
      </c>
    </row>
    <row r="9" spans="1:15" x14ac:dyDescent="0.3">
      <c r="A9" s="1" t="s">
        <v>30</v>
      </c>
      <c r="B9">
        <f>B7/D7</f>
        <v>0.6428571428571429</v>
      </c>
      <c r="J9">
        <v>8</v>
      </c>
      <c r="K9" t="s">
        <v>4</v>
      </c>
      <c r="L9" t="s">
        <v>23</v>
      </c>
      <c r="M9" t="s">
        <v>20</v>
      </c>
      <c r="N9" t="s">
        <v>21</v>
      </c>
      <c r="O9" t="s">
        <v>2</v>
      </c>
    </row>
    <row r="10" spans="1:15" x14ac:dyDescent="0.3">
      <c r="A10" s="1" t="s">
        <v>31</v>
      </c>
      <c r="B10">
        <f>C7/D7</f>
        <v>0.35714285714285715</v>
      </c>
      <c r="J10">
        <v>9</v>
      </c>
      <c r="K10" t="s">
        <v>4</v>
      </c>
      <c r="L10" t="s">
        <v>24</v>
      </c>
      <c r="M10" t="s">
        <v>25</v>
      </c>
      <c r="N10" t="s">
        <v>21</v>
      </c>
      <c r="O10" t="s">
        <v>1</v>
      </c>
    </row>
    <row r="11" spans="1:15" x14ac:dyDescent="0.3">
      <c r="J11">
        <v>10</v>
      </c>
      <c r="K11" t="s">
        <v>6</v>
      </c>
      <c r="L11" t="s">
        <v>23</v>
      </c>
      <c r="M11" t="s">
        <v>25</v>
      </c>
      <c r="N11" t="s">
        <v>21</v>
      </c>
      <c r="O11" t="s">
        <v>1</v>
      </c>
    </row>
    <row r="12" spans="1:15" x14ac:dyDescent="0.3">
      <c r="A12" t="s">
        <v>7</v>
      </c>
      <c r="B12">
        <f>-(B9*IMLOG2(B9)+B10*IMLOG2(B10))</f>
        <v>0.94028595867063069</v>
      </c>
      <c r="J12">
        <v>11</v>
      </c>
      <c r="K12" t="s">
        <v>4</v>
      </c>
      <c r="L12" t="s">
        <v>23</v>
      </c>
      <c r="M12" t="s">
        <v>25</v>
      </c>
      <c r="N12" t="s">
        <v>22</v>
      </c>
      <c r="O12" t="s">
        <v>1</v>
      </c>
    </row>
    <row r="13" spans="1:15" x14ac:dyDescent="0.3">
      <c r="J13">
        <v>12</v>
      </c>
      <c r="K13" t="s">
        <v>5</v>
      </c>
      <c r="L13" t="s">
        <v>23</v>
      </c>
      <c r="M13" t="s">
        <v>20</v>
      </c>
      <c r="N13" t="s">
        <v>22</v>
      </c>
      <c r="O13" t="s">
        <v>1</v>
      </c>
    </row>
    <row r="14" spans="1:15" x14ac:dyDescent="0.3">
      <c r="B14" t="s">
        <v>1</v>
      </c>
      <c r="C14" t="s">
        <v>2</v>
      </c>
      <c r="D14" t="s">
        <v>10</v>
      </c>
      <c r="E14" t="s">
        <v>11</v>
      </c>
      <c r="F14" t="s">
        <v>3</v>
      </c>
      <c r="J14">
        <v>13</v>
      </c>
      <c r="K14" t="s">
        <v>5</v>
      </c>
      <c r="L14" t="s">
        <v>19</v>
      </c>
      <c r="M14" t="s">
        <v>25</v>
      </c>
      <c r="N14" t="s">
        <v>21</v>
      </c>
      <c r="O14" t="s">
        <v>1</v>
      </c>
    </row>
    <row r="15" spans="1:15" x14ac:dyDescent="0.3">
      <c r="A15" t="s">
        <v>26</v>
      </c>
      <c r="B15">
        <f>B4/D4</f>
        <v>0.5</v>
      </c>
      <c r="C15">
        <f>C4/D4</f>
        <v>0.5</v>
      </c>
      <c r="D15">
        <f t="shared" ref="D15:E17" si="0">-(B15*IMLOG2(B15))</f>
        <v>0.5</v>
      </c>
      <c r="E15">
        <f t="shared" si="0"/>
        <v>0.5</v>
      </c>
      <c r="F15">
        <f>D15+E15</f>
        <v>1</v>
      </c>
      <c r="J15">
        <v>14</v>
      </c>
      <c r="K15" t="s">
        <v>6</v>
      </c>
      <c r="L15" t="s">
        <v>23</v>
      </c>
      <c r="M15" t="s">
        <v>20</v>
      </c>
      <c r="N15" t="s">
        <v>22</v>
      </c>
      <c r="O15" t="s">
        <v>2</v>
      </c>
    </row>
    <row r="16" spans="1:15" x14ac:dyDescent="0.3">
      <c r="A16" t="s">
        <v>27</v>
      </c>
      <c r="B16">
        <f>B5/D5</f>
        <v>0.66666666666666663</v>
      </c>
      <c r="C16">
        <f>C5/D5</f>
        <v>0.33333333333333331</v>
      </c>
      <c r="D16">
        <f t="shared" si="0"/>
        <v>0.38997500048077061</v>
      </c>
      <c r="E16">
        <f t="shared" si="0"/>
        <v>0.52832083357371995</v>
      </c>
      <c r="F16">
        <f>(D16+E16)</f>
        <v>0.91829583405449056</v>
      </c>
    </row>
    <row r="17" spans="1:6" x14ac:dyDescent="0.3">
      <c r="A17" t="s">
        <v>28</v>
      </c>
      <c r="B17">
        <f>B6/D6</f>
        <v>0.75</v>
      </c>
      <c r="C17">
        <f>C6/D6</f>
        <v>0.25</v>
      </c>
      <c r="D17">
        <f t="shared" si="0"/>
        <v>0.311278124459133</v>
      </c>
      <c r="E17">
        <f t="shared" si="0"/>
        <v>0.5</v>
      </c>
      <c r="F17">
        <f>D17+E17</f>
        <v>0.81127812445913294</v>
      </c>
    </row>
    <row r="19" spans="1:6" x14ac:dyDescent="0.3">
      <c r="A19" t="s">
        <v>13</v>
      </c>
      <c r="B19">
        <f>B12-D4/D7*F15-D5/D7*F16-D6/D7*F17</f>
        <v>2.9222565658953953E-2</v>
      </c>
    </row>
  </sheetData>
  <autoFilter ref="J1:O15" xr:uid="{566DEA49-F364-4385-8828-1FA809923B2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97F5-4FDE-4D22-9B28-4A1681CF33E7}">
  <dimension ref="A1:O18"/>
  <sheetViews>
    <sheetView workbookViewId="0">
      <selection activeCell="A11" sqref="A11"/>
    </sheetView>
  </sheetViews>
  <sheetFormatPr defaultRowHeight="14.4" x14ac:dyDescent="0.3"/>
  <cols>
    <col min="1" max="1" width="20.44140625" bestFit="1" customWidth="1"/>
    <col min="4" max="4" width="18.33203125" bestFit="1" customWidth="1"/>
    <col min="5" max="5" width="11.5546875" bestFit="1" customWidth="1"/>
  </cols>
  <sheetData>
    <row r="1" spans="1:15" x14ac:dyDescent="0.3">
      <c r="J1" t="s">
        <v>14</v>
      </c>
      <c r="K1" t="s">
        <v>0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3">
      <c r="J2">
        <v>1</v>
      </c>
      <c r="K2" t="s">
        <v>4</v>
      </c>
      <c r="L2" t="s">
        <v>19</v>
      </c>
      <c r="M2" t="s">
        <v>20</v>
      </c>
      <c r="N2" t="s">
        <v>21</v>
      </c>
      <c r="O2" t="s">
        <v>2</v>
      </c>
    </row>
    <row r="3" spans="1:15" x14ac:dyDescent="0.3">
      <c r="A3" s="2" t="s">
        <v>16</v>
      </c>
      <c r="B3" s="3" t="s">
        <v>1</v>
      </c>
      <c r="C3" s="3" t="s">
        <v>2</v>
      </c>
      <c r="D3" s="3" t="s">
        <v>3</v>
      </c>
      <c r="J3">
        <v>2</v>
      </c>
      <c r="K3" t="s">
        <v>4</v>
      </c>
      <c r="L3" t="s">
        <v>19</v>
      </c>
      <c r="M3" t="s">
        <v>20</v>
      </c>
      <c r="N3" t="s">
        <v>22</v>
      </c>
      <c r="O3" t="s">
        <v>2</v>
      </c>
    </row>
    <row r="4" spans="1:15" x14ac:dyDescent="0.3">
      <c r="A4" s="4" t="s">
        <v>20</v>
      </c>
      <c r="B4" s="5">
        <v>3</v>
      </c>
      <c r="C4" s="5">
        <v>4</v>
      </c>
      <c r="D4" s="6">
        <f>B4+C4</f>
        <v>7</v>
      </c>
      <c r="J4">
        <v>3</v>
      </c>
      <c r="K4" t="s">
        <v>5</v>
      </c>
      <c r="L4" t="s">
        <v>19</v>
      </c>
      <c r="M4" t="s">
        <v>20</v>
      </c>
      <c r="N4" t="s">
        <v>21</v>
      </c>
      <c r="O4" t="s">
        <v>1</v>
      </c>
    </row>
    <row r="5" spans="1:15" x14ac:dyDescent="0.3">
      <c r="A5" s="4" t="s">
        <v>25</v>
      </c>
      <c r="B5" s="5">
        <v>6</v>
      </c>
      <c r="C5" s="5">
        <v>1</v>
      </c>
      <c r="D5" s="6">
        <f>B5+C5</f>
        <v>7</v>
      </c>
      <c r="J5">
        <v>4</v>
      </c>
      <c r="K5" t="s">
        <v>6</v>
      </c>
      <c r="L5" t="s">
        <v>23</v>
      </c>
      <c r="M5" t="s">
        <v>20</v>
      </c>
      <c r="N5" t="s">
        <v>21</v>
      </c>
      <c r="O5" t="s">
        <v>1</v>
      </c>
    </row>
    <row r="6" spans="1:15" x14ac:dyDescent="0.3">
      <c r="A6" s="4" t="s">
        <v>29</v>
      </c>
      <c r="B6" s="5">
        <v>0</v>
      </c>
      <c r="C6" s="5">
        <v>0</v>
      </c>
      <c r="D6" s="6">
        <f>B6+C6</f>
        <v>0</v>
      </c>
      <c r="J6">
        <v>5</v>
      </c>
      <c r="K6" t="s">
        <v>6</v>
      </c>
      <c r="L6" t="s">
        <v>24</v>
      </c>
      <c r="M6" t="s">
        <v>25</v>
      </c>
      <c r="N6" t="s">
        <v>21</v>
      </c>
      <c r="O6" t="s">
        <v>1</v>
      </c>
    </row>
    <row r="7" spans="1:15" x14ac:dyDescent="0.3">
      <c r="A7" s="7" t="s">
        <v>3</v>
      </c>
      <c r="B7" s="8">
        <f>B4+B5+B6</f>
        <v>9</v>
      </c>
      <c r="C7" s="8">
        <f>C4+C5+C6</f>
        <v>5</v>
      </c>
      <c r="D7" s="8">
        <f>D4+D5+D6</f>
        <v>14</v>
      </c>
      <c r="J7">
        <v>6</v>
      </c>
      <c r="K7" t="s">
        <v>6</v>
      </c>
      <c r="L7" t="s">
        <v>24</v>
      </c>
      <c r="M7" t="s">
        <v>25</v>
      </c>
      <c r="N7" t="s">
        <v>22</v>
      </c>
      <c r="O7" t="s">
        <v>2</v>
      </c>
    </row>
    <row r="8" spans="1:15" x14ac:dyDescent="0.3">
      <c r="J8">
        <v>7</v>
      </c>
      <c r="K8" t="s">
        <v>5</v>
      </c>
      <c r="L8" t="s">
        <v>24</v>
      </c>
      <c r="M8" t="s">
        <v>25</v>
      </c>
      <c r="N8" t="s">
        <v>22</v>
      </c>
      <c r="O8" t="s">
        <v>1</v>
      </c>
    </row>
    <row r="9" spans="1:15" x14ac:dyDescent="0.3">
      <c r="A9" s="1" t="s">
        <v>30</v>
      </c>
      <c r="B9">
        <f>B7/D7</f>
        <v>0.6428571428571429</v>
      </c>
      <c r="J9">
        <v>8</v>
      </c>
      <c r="K9" t="s">
        <v>4</v>
      </c>
      <c r="L9" t="s">
        <v>23</v>
      </c>
      <c r="M9" t="s">
        <v>20</v>
      </c>
      <c r="N9" t="s">
        <v>21</v>
      </c>
      <c r="O9" t="s">
        <v>2</v>
      </c>
    </row>
    <row r="10" spans="1:15" x14ac:dyDescent="0.3">
      <c r="A10" s="1" t="s">
        <v>31</v>
      </c>
      <c r="B10">
        <f>C7/D7</f>
        <v>0.35714285714285715</v>
      </c>
      <c r="J10">
        <v>9</v>
      </c>
      <c r="K10" t="s">
        <v>4</v>
      </c>
      <c r="L10" t="s">
        <v>24</v>
      </c>
      <c r="M10" t="s">
        <v>25</v>
      </c>
      <c r="N10" t="s">
        <v>21</v>
      </c>
      <c r="O10" t="s">
        <v>1</v>
      </c>
    </row>
    <row r="11" spans="1:15" x14ac:dyDescent="0.3">
      <c r="J11">
        <v>10</v>
      </c>
      <c r="K11" t="s">
        <v>6</v>
      </c>
      <c r="L11" t="s">
        <v>23</v>
      </c>
      <c r="M11" t="s">
        <v>25</v>
      </c>
      <c r="N11" t="s">
        <v>21</v>
      </c>
      <c r="O11" t="s">
        <v>1</v>
      </c>
    </row>
    <row r="12" spans="1:15" x14ac:dyDescent="0.3">
      <c r="A12" t="s">
        <v>7</v>
      </c>
      <c r="B12">
        <f>-(B9*IMLOG2(B9)+B10*IMLOG2(B10))</f>
        <v>0.94028595867063069</v>
      </c>
      <c r="J12">
        <v>11</v>
      </c>
      <c r="K12" t="s">
        <v>4</v>
      </c>
      <c r="L12" t="s">
        <v>23</v>
      </c>
      <c r="M12" t="s">
        <v>25</v>
      </c>
      <c r="N12" t="s">
        <v>22</v>
      </c>
      <c r="O12" t="s">
        <v>1</v>
      </c>
    </row>
    <row r="13" spans="1:15" x14ac:dyDescent="0.3">
      <c r="J13">
        <v>12</v>
      </c>
      <c r="K13" t="s">
        <v>5</v>
      </c>
      <c r="L13" t="s">
        <v>23</v>
      </c>
      <c r="M13" t="s">
        <v>20</v>
      </c>
      <c r="N13" t="s">
        <v>22</v>
      </c>
      <c r="O13" t="s">
        <v>1</v>
      </c>
    </row>
    <row r="14" spans="1:15" x14ac:dyDescent="0.3">
      <c r="B14" t="s">
        <v>1</v>
      </c>
      <c r="C14" t="s">
        <v>2</v>
      </c>
      <c r="D14" t="s">
        <v>10</v>
      </c>
      <c r="E14" t="s">
        <v>11</v>
      </c>
      <c r="F14" t="s">
        <v>3</v>
      </c>
      <c r="J14">
        <v>13</v>
      </c>
      <c r="K14" t="s">
        <v>5</v>
      </c>
      <c r="L14" t="s">
        <v>19</v>
      </c>
      <c r="M14" t="s">
        <v>25</v>
      </c>
      <c r="N14" t="s">
        <v>21</v>
      </c>
      <c r="O14" t="s">
        <v>1</v>
      </c>
    </row>
    <row r="15" spans="1:15" x14ac:dyDescent="0.3">
      <c r="A15" t="s">
        <v>32</v>
      </c>
      <c r="B15">
        <f>B4/D4</f>
        <v>0.42857142857142855</v>
      </c>
      <c r="C15">
        <f>C4/D4</f>
        <v>0.5714285714285714</v>
      </c>
      <c r="D15">
        <f>-(B15*IMLOG2(B15))</f>
        <v>0.52388246628705004</v>
      </c>
      <c r="E15">
        <f>-(C15*IMLOG2(C15))</f>
        <v>0.46134566974720226</v>
      </c>
      <c r="F15">
        <f>D15+E15</f>
        <v>0.9852281360342523</v>
      </c>
      <c r="J15">
        <v>14</v>
      </c>
      <c r="K15" t="s">
        <v>6</v>
      </c>
      <c r="L15" t="s">
        <v>23</v>
      </c>
      <c r="M15" t="s">
        <v>20</v>
      </c>
      <c r="N15" t="s">
        <v>22</v>
      </c>
      <c r="O15" t="s">
        <v>2</v>
      </c>
    </row>
    <row r="16" spans="1:15" x14ac:dyDescent="0.3">
      <c r="A16" t="s">
        <v>33</v>
      </c>
      <c r="B16">
        <f>B5/D5</f>
        <v>0.8571428571428571</v>
      </c>
      <c r="C16">
        <f>C5/D5</f>
        <v>0.14285714285714285</v>
      </c>
      <c r="D16">
        <f>-(B16*IMLOG2(B16))</f>
        <v>0.19062207543124113</v>
      </c>
      <c r="E16">
        <f>-(C16*IMLOG2(C16))</f>
        <v>0.40105070315108571</v>
      </c>
      <c r="F16">
        <f>(D16+E16)</f>
        <v>0.59167277858232681</v>
      </c>
    </row>
    <row r="18" spans="1:2" x14ac:dyDescent="0.3">
      <c r="A18" t="s">
        <v>13</v>
      </c>
      <c r="B18">
        <f>B12-D4/D7*F15-D5/D7*F16</f>
        <v>0.15183550136234114</v>
      </c>
    </row>
  </sheetData>
  <autoFilter ref="J1:O15" xr:uid="{566DEA49-F364-4385-8828-1FA809923B2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3934-93C1-489D-9F7E-FC4FEAA0F4D6}">
  <dimension ref="A1:O18"/>
  <sheetViews>
    <sheetView tabSelected="1" workbookViewId="0">
      <selection activeCell="J1" sqref="J1:O15"/>
    </sheetView>
  </sheetViews>
  <sheetFormatPr defaultRowHeight="14.4" x14ac:dyDescent="0.3"/>
  <cols>
    <col min="1" max="1" width="20.44140625" bestFit="1" customWidth="1"/>
    <col min="4" max="4" width="18.33203125" bestFit="1" customWidth="1"/>
    <col min="5" max="5" width="11.5546875" bestFit="1" customWidth="1"/>
  </cols>
  <sheetData>
    <row r="1" spans="1:15" x14ac:dyDescent="0.3">
      <c r="J1" t="s">
        <v>14</v>
      </c>
      <c r="K1" t="s">
        <v>0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3">
      <c r="J2">
        <v>1</v>
      </c>
      <c r="K2" t="s">
        <v>4</v>
      </c>
      <c r="L2" t="s">
        <v>19</v>
      </c>
      <c r="M2" t="s">
        <v>20</v>
      </c>
      <c r="N2" t="s">
        <v>21</v>
      </c>
      <c r="O2" t="s">
        <v>2</v>
      </c>
    </row>
    <row r="3" spans="1:15" x14ac:dyDescent="0.3">
      <c r="A3" s="2" t="s">
        <v>17</v>
      </c>
      <c r="B3" s="3" t="s">
        <v>1</v>
      </c>
      <c r="C3" s="3" t="s">
        <v>2</v>
      </c>
      <c r="D3" s="3" t="s">
        <v>3</v>
      </c>
      <c r="J3">
        <v>2</v>
      </c>
      <c r="K3" t="s">
        <v>4</v>
      </c>
      <c r="L3" t="s">
        <v>19</v>
      </c>
      <c r="M3" t="s">
        <v>20</v>
      </c>
      <c r="N3" t="s">
        <v>22</v>
      </c>
      <c r="O3" t="s">
        <v>2</v>
      </c>
    </row>
    <row r="4" spans="1:15" x14ac:dyDescent="0.3">
      <c r="A4" s="4" t="s">
        <v>21</v>
      </c>
      <c r="B4" s="5">
        <v>6</v>
      </c>
      <c r="C4" s="5">
        <v>2</v>
      </c>
      <c r="D4" s="6">
        <f>B4+C4</f>
        <v>8</v>
      </c>
      <c r="J4">
        <v>3</v>
      </c>
      <c r="K4" t="s">
        <v>5</v>
      </c>
      <c r="L4" t="s">
        <v>19</v>
      </c>
      <c r="M4" t="s">
        <v>20</v>
      </c>
      <c r="N4" t="s">
        <v>21</v>
      </c>
      <c r="O4" t="s">
        <v>1</v>
      </c>
    </row>
    <row r="5" spans="1:15" x14ac:dyDescent="0.3">
      <c r="A5" s="4" t="s">
        <v>22</v>
      </c>
      <c r="B5" s="5">
        <v>3</v>
      </c>
      <c r="C5" s="5">
        <v>3</v>
      </c>
      <c r="D5" s="6">
        <f>B5+C5</f>
        <v>6</v>
      </c>
      <c r="J5">
        <v>4</v>
      </c>
      <c r="K5" t="s">
        <v>6</v>
      </c>
      <c r="L5" t="s">
        <v>23</v>
      </c>
      <c r="M5" t="s">
        <v>20</v>
      </c>
      <c r="N5" t="s">
        <v>21</v>
      </c>
      <c r="O5" t="s">
        <v>1</v>
      </c>
    </row>
    <row r="6" spans="1:15" x14ac:dyDescent="0.3">
      <c r="A6" s="4" t="s">
        <v>29</v>
      </c>
      <c r="B6" s="5">
        <v>0</v>
      </c>
      <c r="C6" s="5">
        <v>0</v>
      </c>
      <c r="D6" s="6">
        <f>B6+C6</f>
        <v>0</v>
      </c>
      <c r="J6">
        <v>5</v>
      </c>
      <c r="K6" t="s">
        <v>6</v>
      </c>
      <c r="L6" t="s">
        <v>24</v>
      </c>
      <c r="M6" t="s">
        <v>25</v>
      </c>
      <c r="N6" t="s">
        <v>21</v>
      </c>
      <c r="O6" t="s">
        <v>1</v>
      </c>
    </row>
    <row r="7" spans="1:15" x14ac:dyDescent="0.3">
      <c r="A7" s="7" t="s">
        <v>3</v>
      </c>
      <c r="B7" s="8">
        <f>B4+B5+B6</f>
        <v>9</v>
      </c>
      <c r="C7" s="8">
        <f>C4+C5+C6</f>
        <v>5</v>
      </c>
      <c r="D7" s="8">
        <f>D4+D5+D6</f>
        <v>14</v>
      </c>
      <c r="J7">
        <v>6</v>
      </c>
      <c r="K7" t="s">
        <v>6</v>
      </c>
      <c r="L7" t="s">
        <v>24</v>
      </c>
      <c r="M7" t="s">
        <v>25</v>
      </c>
      <c r="N7" t="s">
        <v>22</v>
      </c>
      <c r="O7" t="s">
        <v>2</v>
      </c>
    </row>
    <row r="8" spans="1:15" x14ac:dyDescent="0.3">
      <c r="J8">
        <v>7</v>
      </c>
      <c r="K8" t="s">
        <v>5</v>
      </c>
      <c r="L8" t="s">
        <v>24</v>
      </c>
      <c r="M8" t="s">
        <v>25</v>
      </c>
      <c r="N8" t="s">
        <v>22</v>
      </c>
      <c r="O8" t="s">
        <v>1</v>
      </c>
    </row>
    <row r="9" spans="1:15" x14ac:dyDescent="0.3">
      <c r="A9" s="1" t="s">
        <v>30</v>
      </c>
      <c r="B9">
        <f>B7/D7</f>
        <v>0.6428571428571429</v>
      </c>
      <c r="J9">
        <v>8</v>
      </c>
      <c r="K9" t="s">
        <v>4</v>
      </c>
      <c r="L9" t="s">
        <v>23</v>
      </c>
      <c r="M9" t="s">
        <v>20</v>
      </c>
      <c r="N9" t="s">
        <v>21</v>
      </c>
      <c r="O9" t="s">
        <v>2</v>
      </c>
    </row>
    <row r="10" spans="1:15" x14ac:dyDescent="0.3">
      <c r="A10" s="1" t="s">
        <v>31</v>
      </c>
      <c r="B10">
        <f>C7/D7</f>
        <v>0.35714285714285715</v>
      </c>
      <c r="J10">
        <v>9</v>
      </c>
      <c r="K10" t="s">
        <v>4</v>
      </c>
      <c r="L10" t="s">
        <v>24</v>
      </c>
      <c r="M10" t="s">
        <v>25</v>
      </c>
      <c r="N10" t="s">
        <v>21</v>
      </c>
      <c r="O10" t="s">
        <v>1</v>
      </c>
    </row>
    <row r="11" spans="1:15" x14ac:dyDescent="0.3">
      <c r="J11">
        <v>10</v>
      </c>
      <c r="K11" t="s">
        <v>6</v>
      </c>
      <c r="L11" t="s">
        <v>23</v>
      </c>
      <c r="M11" t="s">
        <v>25</v>
      </c>
      <c r="N11" t="s">
        <v>21</v>
      </c>
      <c r="O11" t="s">
        <v>1</v>
      </c>
    </row>
    <row r="12" spans="1:15" x14ac:dyDescent="0.3">
      <c r="A12" t="s">
        <v>7</v>
      </c>
      <c r="B12">
        <f>-(B9*IMLOG2(B9)+B10*IMLOG2(B10))</f>
        <v>0.94028595867063069</v>
      </c>
      <c r="J12">
        <v>11</v>
      </c>
      <c r="K12" t="s">
        <v>4</v>
      </c>
      <c r="L12" t="s">
        <v>23</v>
      </c>
      <c r="M12" t="s">
        <v>25</v>
      </c>
      <c r="N12" t="s">
        <v>22</v>
      </c>
      <c r="O12" t="s">
        <v>1</v>
      </c>
    </row>
    <row r="13" spans="1:15" x14ac:dyDescent="0.3">
      <c r="J13">
        <v>12</v>
      </c>
      <c r="K13" t="s">
        <v>5</v>
      </c>
      <c r="L13" t="s">
        <v>23</v>
      </c>
      <c r="M13" t="s">
        <v>20</v>
      </c>
      <c r="N13" t="s">
        <v>22</v>
      </c>
      <c r="O13" t="s">
        <v>1</v>
      </c>
    </row>
    <row r="14" spans="1:15" x14ac:dyDescent="0.3">
      <c r="B14" t="s">
        <v>1</v>
      </c>
      <c r="C14" t="s">
        <v>2</v>
      </c>
      <c r="D14" t="s">
        <v>10</v>
      </c>
      <c r="E14" t="s">
        <v>11</v>
      </c>
      <c r="F14" t="s">
        <v>3</v>
      </c>
      <c r="J14">
        <v>13</v>
      </c>
      <c r="K14" t="s">
        <v>5</v>
      </c>
      <c r="L14" t="s">
        <v>19</v>
      </c>
      <c r="M14" t="s">
        <v>25</v>
      </c>
      <c r="N14" t="s">
        <v>21</v>
      </c>
      <c r="O14" t="s">
        <v>1</v>
      </c>
    </row>
    <row r="15" spans="1:15" x14ac:dyDescent="0.3">
      <c r="A15" t="s">
        <v>34</v>
      </c>
      <c r="B15">
        <f>B4/D4</f>
        <v>0.75</v>
      </c>
      <c r="C15">
        <f>C4/D4</f>
        <v>0.25</v>
      </c>
      <c r="D15">
        <f>-(B15*IMLOG2(B15))</f>
        <v>0.311278124459133</v>
      </c>
      <c r="E15">
        <f>-(C15*IMLOG2(C15))</f>
        <v>0.5</v>
      </c>
      <c r="F15">
        <f>D15+E15</f>
        <v>0.81127812445913294</v>
      </c>
      <c r="J15">
        <v>14</v>
      </c>
      <c r="K15" t="s">
        <v>6</v>
      </c>
      <c r="L15" t="s">
        <v>23</v>
      </c>
      <c r="M15" t="s">
        <v>20</v>
      </c>
      <c r="N15" t="s">
        <v>22</v>
      </c>
      <c r="O15" t="s">
        <v>2</v>
      </c>
    </row>
    <row r="16" spans="1:15" x14ac:dyDescent="0.3">
      <c r="A16" t="s">
        <v>35</v>
      </c>
      <c r="B16">
        <f>B5/D5</f>
        <v>0.5</v>
      </c>
      <c r="C16">
        <f>C5/D5</f>
        <v>0.5</v>
      </c>
      <c r="D16">
        <f>-(B16*IMLOG2(B16))</f>
        <v>0.5</v>
      </c>
      <c r="E16">
        <f>-(C16*IMLOG2(C16))</f>
        <v>0.5</v>
      </c>
      <c r="F16">
        <f>(D16+E16)</f>
        <v>1</v>
      </c>
    </row>
    <row r="18" spans="1:2" x14ac:dyDescent="0.3">
      <c r="A18" t="s">
        <v>13</v>
      </c>
      <c r="B18">
        <f>B12-D4/D7*F15-D5/D7*F16</f>
        <v>4.8127030408269045E-2</v>
      </c>
    </row>
  </sheetData>
  <autoFilter ref="J1:O15" xr:uid="{566DEA49-F364-4385-8828-1FA809923B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</vt:lpstr>
      <vt:lpstr>Temperature</vt:lpstr>
      <vt:lpstr>Humidity</vt:lpstr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Manickam</dc:creator>
  <cp:lastModifiedBy>Santhosh Manickam</cp:lastModifiedBy>
  <dcterms:created xsi:type="dcterms:W3CDTF">2026-01-24T10:43:28Z</dcterms:created>
  <dcterms:modified xsi:type="dcterms:W3CDTF">2026-01-24T12:18:48Z</dcterms:modified>
</cp:coreProperties>
</file>